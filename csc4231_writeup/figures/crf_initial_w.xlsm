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27600" windowHeight="1464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I18" i="1"/>
  <c r="C18"/>
  <c r="D18"/>
  <c r="E18"/>
  <c r="F18"/>
  <c r="G18"/>
  <c r="H18"/>
  <c r="J18"/>
  <c r="K18"/>
  <c r="L18"/>
  <c r="M18"/>
  <c r="N18"/>
  <c r="O18"/>
  <c r="P18"/>
  <c r="C19"/>
  <c r="D19"/>
  <c r="E19"/>
  <c r="F19"/>
  <c r="G19"/>
  <c r="H19"/>
  <c r="I19"/>
  <c r="J19"/>
  <c r="K19"/>
  <c r="L19"/>
  <c r="M19"/>
  <c r="N19"/>
  <c r="O19"/>
  <c r="P19"/>
  <c r="C20"/>
  <c r="D20"/>
  <c r="E20"/>
  <c r="F20"/>
  <c r="G20"/>
  <c r="H20"/>
  <c r="I20"/>
  <c r="J20"/>
  <c r="K20"/>
  <c r="L20"/>
  <c r="M20"/>
  <c r="N20"/>
  <c r="O20"/>
  <c r="P20"/>
  <c r="C21"/>
  <c r="D21"/>
  <c r="E21"/>
  <c r="F21"/>
  <c r="G21"/>
  <c r="H21"/>
  <c r="I21"/>
  <c r="J21"/>
  <c r="K21"/>
  <c r="L21"/>
  <c r="M21"/>
  <c r="N21"/>
  <c r="O21"/>
  <c r="P21"/>
  <c r="C22"/>
  <c r="D22"/>
  <c r="E22"/>
  <c r="F22"/>
  <c r="G22"/>
  <c r="H22"/>
  <c r="I22"/>
  <c r="J22"/>
  <c r="K22"/>
  <c r="L22"/>
  <c r="M22"/>
  <c r="N22"/>
  <c r="O22"/>
  <c r="P22"/>
  <c r="C23"/>
  <c r="D23"/>
  <c r="E23"/>
  <c r="F23"/>
  <c r="G23"/>
  <c r="H23"/>
  <c r="I23"/>
  <c r="J23"/>
  <c r="K23"/>
  <c r="L23"/>
  <c r="M23"/>
  <c r="N23"/>
  <c r="O23"/>
  <c r="P23"/>
  <c r="C24"/>
  <c r="D24"/>
  <c r="E24"/>
  <c r="F24"/>
  <c r="G24"/>
  <c r="H24"/>
  <c r="I24"/>
  <c r="J24"/>
  <c r="K24"/>
  <c r="L24"/>
  <c r="M24"/>
  <c r="N24"/>
  <c r="O24"/>
  <c r="P24"/>
  <c r="C25"/>
  <c r="D25"/>
  <c r="E25"/>
  <c r="F25"/>
  <c r="G25"/>
  <c r="H25"/>
  <c r="I25"/>
  <c r="J25"/>
  <c r="K25"/>
  <c r="L25"/>
  <c r="M25"/>
  <c r="N25"/>
  <c r="O25"/>
  <c r="P25"/>
  <c r="C26"/>
  <c r="D26"/>
  <c r="E26"/>
  <c r="F26"/>
  <c r="G26"/>
  <c r="H26"/>
  <c r="I26"/>
  <c r="J26"/>
  <c r="K26"/>
  <c r="L26"/>
  <c r="M26"/>
  <c r="N26"/>
  <c r="O26"/>
  <c r="P26"/>
  <c r="D17"/>
  <c r="E17"/>
  <c r="F17"/>
  <c r="G17"/>
  <c r="H17"/>
  <c r="I17"/>
  <c r="J17"/>
  <c r="K17"/>
  <c r="L17"/>
  <c r="M17"/>
  <c r="N17"/>
  <c r="O17"/>
  <c r="P17"/>
  <c r="C17"/>
</calcChain>
</file>

<file path=xl/sharedStrings.xml><?xml version="1.0" encoding="utf-8"?>
<sst xmlns="http://schemas.openxmlformats.org/spreadsheetml/2006/main" count="214" uniqueCount="73">
  <si>
    <t>CNV type</t>
  </si>
  <si>
    <t>100k</t>
  </si>
  <si>
    <t>300k</t>
  </si>
  <si>
    <t>500k</t>
  </si>
  <si>
    <t>1M</t>
  </si>
  <si>
    <t>5M</t>
  </si>
  <si>
    <t>10M</t>
  </si>
  <si>
    <t>total</t>
  </si>
  <si>
    <t>ratios</t>
  </si>
  <si>
    <t>r+prior</t>
  </si>
  <si>
    <t>maternal deletion</t>
  </si>
  <si>
    <t>recall</t>
  </si>
  <si>
    <t>0/2</t>
  </si>
  <si>
    <t>2/2</t>
  </si>
  <si>
    <t>0/1</t>
  </si>
  <si>
    <t>1/1</t>
  </si>
  <si>
    <t>0/0</t>
  </si>
  <si>
    <t>3/4</t>
  </si>
  <si>
    <t>4/4</t>
  </si>
  <si>
    <t>7/11</t>
  </si>
  <si>
    <t>11/11</t>
  </si>
  <si>
    <t>precision</t>
  </si>
  <si>
    <t>2/493</t>
  </si>
  <si>
    <t>1/257</t>
  </si>
  <si>
    <t>0/240</t>
  </si>
  <si>
    <t>3/3</t>
  </si>
  <si>
    <t>4/411</t>
  </si>
  <si>
    <t>2/135</t>
  </si>
  <si>
    <t>2/46</t>
  </si>
  <si>
    <t>7/7</t>
  </si>
  <si>
    <t>11/1582</t>
  </si>
  <si>
    <t>maternal duplication</t>
  </si>
  <si>
    <t>0/3</t>
  </si>
  <si>
    <t>2/4</t>
  </si>
  <si>
    <t>0/4</t>
  </si>
  <si>
    <t>1/2</t>
  </si>
  <si>
    <t>6/6</t>
  </si>
  <si>
    <t>0/6</t>
  </si>
  <si>
    <t>12/20</t>
  </si>
  <si>
    <t>0/20</t>
  </si>
  <si>
    <t>0/16</t>
  </si>
  <si>
    <t>12/28</t>
  </si>
  <si>
    <t>paternal deletion</t>
  </si>
  <si>
    <t>9/9</t>
  </si>
  <si>
    <t>1/119</t>
  </si>
  <si>
    <t>9/128</t>
  </si>
  <si>
    <t>paternal duplication</t>
  </si>
  <si>
    <t>0/5</t>
  </si>
  <si>
    <t>1/5</t>
  </si>
  <si>
    <t>15/20</t>
  </si>
  <si>
    <t>1/20</t>
  </si>
  <si>
    <t>0/10</t>
  </si>
  <si>
    <t>15/25</t>
  </si>
  <si>
    <t>1/11</t>
  </si>
  <si>
    <t>4/11</t>
  </si>
  <si>
    <t>6/9</t>
  </si>
  <si>
    <t>4/9</t>
  </si>
  <si>
    <t>8/10</t>
  </si>
  <si>
    <t>7/9</t>
  </si>
  <si>
    <t>3/11</t>
  </si>
  <si>
    <t>10/10</t>
  </si>
  <si>
    <t>4/10</t>
  </si>
  <si>
    <t>43/60</t>
  </si>
  <si>
    <t>21/60</t>
  </si>
  <si>
    <t>1/27</t>
  </si>
  <si>
    <t>4/616</t>
  </si>
  <si>
    <t>4/261</t>
  </si>
  <si>
    <t>8/8</t>
  </si>
  <si>
    <t>6/413</t>
  </si>
  <si>
    <t>3/136</t>
  </si>
  <si>
    <t>4/48</t>
  </si>
  <si>
    <t>43/69</t>
  </si>
  <si>
    <t>21/1714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</si>
</sst>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5" xfId="0" applyNumberForma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1" fontId="1" fillId="0" borderId="14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" fontId="1" fillId="0" borderId="15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9" fontId="1" fillId="0" borderId="16" xfId="0" applyNumberFormat="1" applyFont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9" fontId="1" fillId="0" borderId="0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9" fontId="1" fillId="0" borderId="11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9" fontId="1" fillId="0" borderId="19" xfId="0" applyNumberFormat="1" applyFont="1" applyBorder="1" applyAlignment="1">
      <alignment horizontal="center" vertical="center"/>
    </xf>
    <xf numFmtId="9" fontId="1" fillId="0" borderId="20" xfId="0" applyNumberFormat="1" applyFont="1" applyBorder="1" applyAlignment="1">
      <alignment horizontal="center" vertical="center"/>
    </xf>
    <xf numFmtId="9" fontId="1" fillId="0" borderId="21" xfId="0" applyNumberFormat="1" applyFont="1" applyBorder="1" applyAlignment="1">
      <alignment horizontal="center" vertical="center"/>
    </xf>
    <xf numFmtId="9" fontId="1" fillId="0" borderId="22" xfId="0" applyNumberFormat="1" applyFont="1" applyBorder="1" applyAlignment="1">
      <alignment horizontal="center" vertical="center"/>
    </xf>
    <xf numFmtId="9" fontId="1" fillId="0" borderId="23" xfId="0" applyNumberFormat="1" applyFont="1" applyBorder="1" applyAlignment="1">
      <alignment horizontal="center" vertical="center"/>
    </xf>
    <xf numFmtId="9" fontId="1" fillId="0" borderId="24" xfId="0" applyNumberFormat="1" applyFont="1" applyBorder="1" applyAlignment="1">
      <alignment horizontal="center" vertical="center"/>
    </xf>
    <xf numFmtId="9" fontId="1" fillId="0" borderId="25" xfId="0" applyNumberFormat="1" applyFont="1" applyBorder="1" applyAlignment="1">
      <alignment horizontal="center" vertical="center"/>
    </xf>
    <xf numFmtId="9" fontId="1" fillId="0" borderId="26" xfId="0" applyNumberFormat="1" applyFont="1" applyBorder="1" applyAlignment="1">
      <alignment horizontal="center" vertical="center"/>
    </xf>
    <xf numFmtId="9" fontId="1" fillId="0" borderId="27" xfId="0" applyNumberFormat="1" applyFont="1" applyBorder="1" applyAlignment="1">
      <alignment horizontal="center" vertical="center"/>
    </xf>
    <xf numFmtId="9" fontId="1" fillId="0" borderId="28" xfId="0" applyNumberFormat="1" applyFont="1" applyBorder="1" applyAlignment="1">
      <alignment horizontal="center" vertical="center"/>
    </xf>
    <xf numFmtId="9" fontId="1" fillId="0" borderId="29" xfId="0" applyNumberFormat="1" applyFont="1" applyBorder="1" applyAlignment="1">
      <alignment horizontal="center" vertical="center"/>
    </xf>
    <xf numFmtId="9" fontId="1" fillId="0" borderId="30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26"/>
  <sheetViews>
    <sheetView tabSelected="1" zoomScale="160" zoomScaleNormal="160" workbookViewId="0">
      <selection activeCell="I14" sqref="I14"/>
    </sheetView>
  </sheetViews>
  <sheetFormatPr defaultRowHeight="15"/>
  <cols>
    <col min="1" max="1" width="10.42578125" customWidth="1"/>
    <col min="2" max="2" width="7.85546875" customWidth="1"/>
    <col min="3" max="16" width="7.28515625" customWidth="1"/>
  </cols>
  <sheetData>
    <row r="1" spans="1:16">
      <c r="A1" s="1" t="s">
        <v>0</v>
      </c>
      <c r="B1" s="2"/>
      <c r="C1" s="3" t="s">
        <v>1</v>
      </c>
      <c r="D1" s="4"/>
      <c r="E1" s="1" t="s">
        <v>2</v>
      </c>
      <c r="F1" s="1"/>
      <c r="G1" s="3" t="s">
        <v>3</v>
      </c>
      <c r="H1" s="4"/>
      <c r="I1" s="3" t="s">
        <v>4</v>
      </c>
      <c r="J1" s="4"/>
      <c r="K1" s="1" t="s">
        <v>5</v>
      </c>
      <c r="L1" s="1"/>
      <c r="M1" s="3" t="s">
        <v>6</v>
      </c>
      <c r="N1" s="4"/>
      <c r="O1" s="3" t="s">
        <v>7</v>
      </c>
      <c r="P1" s="1"/>
    </row>
    <row r="2" spans="1:16" ht="15.75" thickBot="1">
      <c r="A2" s="5"/>
      <c r="C2" s="6" t="s">
        <v>8</v>
      </c>
      <c r="D2" s="7" t="s">
        <v>9</v>
      </c>
      <c r="E2" s="6" t="s">
        <v>8</v>
      </c>
      <c r="F2" s="7" t="s">
        <v>9</v>
      </c>
      <c r="G2" s="6" t="s">
        <v>8</v>
      </c>
      <c r="H2" s="7" t="s">
        <v>9</v>
      </c>
      <c r="I2" s="6" t="s">
        <v>8</v>
      </c>
      <c r="J2" s="7" t="s">
        <v>9</v>
      </c>
      <c r="K2" s="6" t="s">
        <v>8</v>
      </c>
      <c r="L2" s="7" t="s">
        <v>9</v>
      </c>
      <c r="M2" s="6" t="s">
        <v>8</v>
      </c>
      <c r="N2" s="7" t="s">
        <v>9</v>
      </c>
      <c r="O2" s="6" t="s">
        <v>8</v>
      </c>
      <c r="P2" s="8" t="s">
        <v>9</v>
      </c>
    </row>
    <row r="3" spans="1:16">
      <c r="A3" s="9" t="s">
        <v>10</v>
      </c>
      <c r="B3" s="10" t="s">
        <v>11</v>
      </c>
      <c r="C3" s="11" t="s">
        <v>12</v>
      </c>
      <c r="D3" s="12" t="s">
        <v>13</v>
      </c>
      <c r="E3" s="11" t="s">
        <v>14</v>
      </c>
      <c r="F3" s="13" t="s">
        <v>15</v>
      </c>
      <c r="G3" s="11" t="s">
        <v>16</v>
      </c>
      <c r="H3" s="12" t="s">
        <v>16</v>
      </c>
      <c r="I3" s="11" t="s">
        <v>17</v>
      </c>
      <c r="J3" s="12" t="s">
        <v>18</v>
      </c>
      <c r="K3" s="11" t="s">
        <v>13</v>
      </c>
      <c r="L3" s="13" t="s">
        <v>13</v>
      </c>
      <c r="M3" s="11" t="s">
        <v>13</v>
      </c>
      <c r="N3" s="12" t="s">
        <v>13</v>
      </c>
      <c r="O3" s="11" t="s">
        <v>19</v>
      </c>
      <c r="P3" s="13" t="s">
        <v>20</v>
      </c>
    </row>
    <row r="4" spans="1:16">
      <c r="A4" s="14"/>
      <c r="B4" s="15" t="s">
        <v>21</v>
      </c>
      <c r="C4" s="16" t="s">
        <v>16</v>
      </c>
      <c r="D4" s="17" t="s">
        <v>22</v>
      </c>
      <c r="E4" s="16" t="s">
        <v>16</v>
      </c>
      <c r="F4" s="18" t="s">
        <v>23</v>
      </c>
      <c r="G4" s="16" t="s">
        <v>16</v>
      </c>
      <c r="H4" s="19" t="s">
        <v>24</v>
      </c>
      <c r="I4" s="16" t="s">
        <v>25</v>
      </c>
      <c r="J4" s="17" t="s">
        <v>26</v>
      </c>
      <c r="K4" s="16" t="s">
        <v>13</v>
      </c>
      <c r="L4" s="18" t="s">
        <v>27</v>
      </c>
      <c r="M4" s="16" t="s">
        <v>13</v>
      </c>
      <c r="N4" s="19" t="s">
        <v>28</v>
      </c>
      <c r="O4" s="16" t="s">
        <v>29</v>
      </c>
      <c r="P4" s="18" t="s">
        <v>30</v>
      </c>
    </row>
    <row r="5" spans="1:16">
      <c r="A5" s="20" t="s">
        <v>31</v>
      </c>
      <c r="B5" s="21" t="s">
        <v>11</v>
      </c>
      <c r="C5" s="22" t="s">
        <v>32</v>
      </c>
      <c r="D5" s="23" t="s">
        <v>32</v>
      </c>
      <c r="E5" s="22" t="s">
        <v>12</v>
      </c>
      <c r="F5" s="24" t="s">
        <v>12</v>
      </c>
      <c r="G5" s="22" t="s">
        <v>33</v>
      </c>
      <c r="H5" s="23" t="s">
        <v>34</v>
      </c>
      <c r="I5" s="22" t="s">
        <v>35</v>
      </c>
      <c r="J5" s="23" t="s">
        <v>12</v>
      </c>
      <c r="K5" s="22" t="s">
        <v>36</v>
      </c>
      <c r="L5" s="24" t="s">
        <v>37</v>
      </c>
      <c r="M5" s="22" t="s">
        <v>25</v>
      </c>
      <c r="N5" s="23" t="s">
        <v>32</v>
      </c>
      <c r="O5" s="22" t="s">
        <v>38</v>
      </c>
      <c r="P5" s="24" t="s">
        <v>39</v>
      </c>
    </row>
    <row r="6" spans="1:16">
      <c r="A6" s="14"/>
      <c r="B6" s="25" t="s">
        <v>21</v>
      </c>
      <c r="C6" s="26" t="s">
        <v>40</v>
      </c>
      <c r="D6" s="17" t="s">
        <v>32</v>
      </c>
      <c r="E6" s="26" t="s">
        <v>16</v>
      </c>
      <c r="F6" s="27" t="s">
        <v>16</v>
      </c>
      <c r="G6" s="16" t="s">
        <v>13</v>
      </c>
      <c r="H6" s="17" t="s">
        <v>16</v>
      </c>
      <c r="I6" s="26" t="s">
        <v>15</v>
      </c>
      <c r="J6" s="17" t="s">
        <v>16</v>
      </c>
      <c r="K6" s="26" t="s">
        <v>36</v>
      </c>
      <c r="L6" s="27" t="s">
        <v>16</v>
      </c>
      <c r="M6" s="26" t="s">
        <v>25</v>
      </c>
      <c r="N6" s="17" t="s">
        <v>16</v>
      </c>
      <c r="O6" s="26" t="s">
        <v>41</v>
      </c>
      <c r="P6" s="27" t="s">
        <v>32</v>
      </c>
    </row>
    <row r="7" spans="1:16">
      <c r="A7" s="20" t="s">
        <v>42</v>
      </c>
      <c r="B7" s="21" t="s">
        <v>11</v>
      </c>
      <c r="C7" s="16" t="s">
        <v>15</v>
      </c>
      <c r="D7" s="19" t="s">
        <v>15</v>
      </c>
      <c r="E7" s="16" t="s">
        <v>25</v>
      </c>
      <c r="F7" s="18" t="s">
        <v>25</v>
      </c>
      <c r="G7" s="22" t="s">
        <v>16</v>
      </c>
      <c r="H7" s="19" t="s">
        <v>16</v>
      </c>
      <c r="I7" s="16" t="s">
        <v>13</v>
      </c>
      <c r="J7" s="19" t="s">
        <v>13</v>
      </c>
      <c r="K7" s="16" t="s">
        <v>15</v>
      </c>
      <c r="L7" s="18" t="s">
        <v>15</v>
      </c>
      <c r="M7" s="16" t="s">
        <v>13</v>
      </c>
      <c r="N7" s="19" t="s">
        <v>13</v>
      </c>
      <c r="O7" s="16" t="s">
        <v>43</v>
      </c>
      <c r="P7" s="18" t="s">
        <v>43</v>
      </c>
    </row>
    <row r="8" spans="1:16">
      <c r="A8" s="28"/>
      <c r="B8" s="15" t="s">
        <v>21</v>
      </c>
      <c r="C8" s="16" t="s">
        <v>15</v>
      </c>
      <c r="D8" s="19" t="s">
        <v>44</v>
      </c>
      <c r="E8" s="16" t="s">
        <v>25</v>
      </c>
      <c r="F8" s="18" t="s">
        <v>17</v>
      </c>
      <c r="G8" s="16" t="s">
        <v>16</v>
      </c>
      <c r="H8" s="19" t="s">
        <v>16</v>
      </c>
      <c r="I8" s="16" t="s">
        <v>13</v>
      </c>
      <c r="J8" s="19" t="s">
        <v>13</v>
      </c>
      <c r="K8" s="16" t="s">
        <v>15</v>
      </c>
      <c r="L8" s="18" t="s">
        <v>15</v>
      </c>
      <c r="M8" s="16" t="s">
        <v>13</v>
      </c>
      <c r="N8" s="19" t="s">
        <v>13</v>
      </c>
      <c r="O8" s="16" t="s">
        <v>43</v>
      </c>
      <c r="P8" s="18" t="s">
        <v>45</v>
      </c>
    </row>
    <row r="9" spans="1:16">
      <c r="A9" s="20" t="s">
        <v>46</v>
      </c>
      <c r="B9" s="21" t="s">
        <v>11</v>
      </c>
      <c r="C9" s="22" t="s">
        <v>47</v>
      </c>
      <c r="D9" s="23" t="s">
        <v>48</v>
      </c>
      <c r="E9" s="22" t="s">
        <v>25</v>
      </c>
      <c r="F9" s="24" t="s">
        <v>32</v>
      </c>
      <c r="G9" s="22" t="s">
        <v>36</v>
      </c>
      <c r="H9" s="23" t="s">
        <v>37</v>
      </c>
      <c r="I9" s="22" t="s">
        <v>15</v>
      </c>
      <c r="J9" s="23" t="s">
        <v>14</v>
      </c>
      <c r="K9" s="22" t="s">
        <v>13</v>
      </c>
      <c r="L9" s="24" t="s">
        <v>12</v>
      </c>
      <c r="M9" s="22" t="s">
        <v>25</v>
      </c>
      <c r="N9" s="23" t="s">
        <v>32</v>
      </c>
      <c r="O9" s="22" t="s">
        <v>49</v>
      </c>
      <c r="P9" s="24" t="s">
        <v>50</v>
      </c>
    </row>
    <row r="10" spans="1:16" ht="15.75" thickBot="1">
      <c r="A10" s="28"/>
      <c r="B10" s="15" t="s">
        <v>21</v>
      </c>
      <c r="C10" s="16" t="s">
        <v>51</v>
      </c>
      <c r="D10" s="19" t="s">
        <v>15</v>
      </c>
      <c r="E10" s="16" t="s">
        <v>25</v>
      </c>
      <c r="F10" s="18" t="s">
        <v>16</v>
      </c>
      <c r="G10" s="29" t="s">
        <v>36</v>
      </c>
      <c r="H10" s="30" t="s">
        <v>16</v>
      </c>
      <c r="I10" s="16" t="s">
        <v>15</v>
      </c>
      <c r="J10" s="19" t="s">
        <v>16</v>
      </c>
      <c r="K10" s="16" t="s">
        <v>13</v>
      </c>
      <c r="L10" s="18" t="s">
        <v>16</v>
      </c>
      <c r="M10" s="29" t="s">
        <v>25</v>
      </c>
      <c r="N10" s="30" t="s">
        <v>16</v>
      </c>
      <c r="O10" s="16" t="s">
        <v>52</v>
      </c>
      <c r="P10" s="18" t="s">
        <v>15</v>
      </c>
    </row>
    <row r="11" spans="1:16">
      <c r="A11" s="31" t="s">
        <v>7</v>
      </c>
      <c r="B11" s="10" t="s">
        <v>11</v>
      </c>
      <c r="C11" s="11" t="s">
        <v>53</v>
      </c>
      <c r="D11" s="12" t="s">
        <v>54</v>
      </c>
      <c r="E11" s="11" t="s">
        <v>55</v>
      </c>
      <c r="F11" s="13" t="s">
        <v>56</v>
      </c>
      <c r="G11" s="11" t="s">
        <v>57</v>
      </c>
      <c r="H11" s="12" t="s">
        <v>51</v>
      </c>
      <c r="I11" s="11" t="s">
        <v>58</v>
      </c>
      <c r="J11" s="12" t="s">
        <v>55</v>
      </c>
      <c r="K11" s="11" t="s">
        <v>20</v>
      </c>
      <c r="L11" s="13" t="s">
        <v>59</v>
      </c>
      <c r="M11" s="11" t="s">
        <v>60</v>
      </c>
      <c r="N11" s="12" t="s">
        <v>61</v>
      </c>
      <c r="O11" s="11" t="s">
        <v>62</v>
      </c>
      <c r="P11" s="13" t="s">
        <v>63</v>
      </c>
    </row>
    <row r="12" spans="1:16">
      <c r="A12" s="32"/>
      <c r="B12" s="15" t="s">
        <v>21</v>
      </c>
      <c r="C12" s="16" t="s">
        <v>64</v>
      </c>
      <c r="D12" s="19" t="s">
        <v>65</v>
      </c>
      <c r="E12" s="16" t="s">
        <v>36</v>
      </c>
      <c r="F12" s="18" t="s">
        <v>66</v>
      </c>
      <c r="G12" s="16" t="s">
        <v>67</v>
      </c>
      <c r="H12" s="19" t="s">
        <v>24</v>
      </c>
      <c r="I12" s="16" t="s">
        <v>29</v>
      </c>
      <c r="J12" s="19" t="s">
        <v>68</v>
      </c>
      <c r="K12" s="16" t="s">
        <v>20</v>
      </c>
      <c r="L12" s="18" t="s">
        <v>69</v>
      </c>
      <c r="M12" s="16" t="s">
        <v>60</v>
      </c>
      <c r="N12" s="19" t="s">
        <v>70</v>
      </c>
      <c r="O12" s="16" t="s">
        <v>71</v>
      </c>
      <c r="P12" s="18" t="s">
        <v>72</v>
      </c>
    </row>
    <row r="15" spans="1:16">
      <c r="A15" s="1" t="s">
        <v>0</v>
      </c>
      <c r="B15" s="2"/>
      <c r="C15" s="3" t="s">
        <v>1</v>
      </c>
      <c r="D15" s="4"/>
      <c r="E15" s="1" t="s">
        <v>2</v>
      </c>
      <c r="F15" s="1"/>
      <c r="G15" s="3" t="s">
        <v>3</v>
      </c>
      <c r="H15" s="4"/>
      <c r="I15" s="3" t="s">
        <v>4</v>
      </c>
      <c r="J15" s="4"/>
      <c r="K15" s="1" t="s">
        <v>5</v>
      </c>
      <c r="L15" s="1"/>
      <c r="M15" s="3" t="s">
        <v>6</v>
      </c>
      <c r="N15" s="4"/>
      <c r="O15" s="3" t="s">
        <v>7</v>
      </c>
      <c r="P15" s="1"/>
    </row>
    <row r="16" spans="1:16" ht="15.75" thickBot="1">
      <c r="A16" s="5"/>
      <c r="C16" s="6" t="s">
        <v>8</v>
      </c>
      <c r="D16" s="7" t="s">
        <v>9</v>
      </c>
      <c r="E16" s="6" t="s">
        <v>8</v>
      </c>
      <c r="F16" s="7" t="s">
        <v>9</v>
      </c>
      <c r="G16" s="6" t="s">
        <v>8</v>
      </c>
      <c r="H16" s="7" t="s">
        <v>9</v>
      </c>
      <c r="I16" s="6" t="s">
        <v>8</v>
      </c>
      <c r="J16" s="7" t="s">
        <v>9</v>
      </c>
      <c r="K16" s="6" t="s">
        <v>8</v>
      </c>
      <c r="L16" s="7" t="s">
        <v>9</v>
      </c>
      <c r="M16" s="6" t="s">
        <v>8</v>
      </c>
      <c r="N16" s="7" t="s">
        <v>9</v>
      </c>
      <c r="O16" s="6" t="s">
        <v>8</v>
      </c>
      <c r="P16" s="8" t="s">
        <v>9</v>
      </c>
    </row>
    <row r="17" spans="1:16">
      <c r="A17" s="9" t="s">
        <v>10</v>
      </c>
      <c r="B17" s="10" t="s">
        <v>11</v>
      </c>
      <c r="C17" s="33">
        <f ca="1">Eval(C3)</f>
        <v>0</v>
      </c>
      <c r="D17" s="41">
        <f t="shared" ref="D17:P17" ca="1" si="0">Eval(D3)</f>
        <v>1</v>
      </c>
      <c r="E17" s="33">
        <f t="shared" ca="1" si="0"/>
        <v>0</v>
      </c>
      <c r="F17" s="45">
        <f t="shared" ca="1" si="0"/>
        <v>1</v>
      </c>
      <c r="G17" s="34">
        <f t="shared" ca="1" si="0"/>
        <v>0</v>
      </c>
      <c r="H17" s="41">
        <f t="shared" ca="1" si="0"/>
        <v>0</v>
      </c>
      <c r="I17" s="33">
        <f t="shared" ca="1" si="0"/>
        <v>0.75</v>
      </c>
      <c r="J17" s="45">
        <f t="shared" ca="1" si="0"/>
        <v>1</v>
      </c>
      <c r="K17" s="34">
        <f t="shared" ca="1" si="0"/>
        <v>1</v>
      </c>
      <c r="L17" s="41">
        <f t="shared" ca="1" si="0"/>
        <v>1</v>
      </c>
      <c r="M17" s="33">
        <f t="shared" ca="1" si="0"/>
        <v>1</v>
      </c>
      <c r="N17" s="45">
        <f t="shared" ca="1" si="0"/>
        <v>1</v>
      </c>
      <c r="O17" s="34">
        <f t="shared" ca="1" si="0"/>
        <v>0.63636363636363635</v>
      </c>
      <c r="P17" s="49">
        <f t="shared" ca="1" si="0"/>
        <v>1</v>
      </c>
    </row>
    <row r="18" spans="1:16">
      <c r="A18" s="14"/>
      <c r="B18" s="15" t="s">
        <v>21</v>
      </c>
      <c r="C18" s="35">
        <f t="shared" ref="C18:P18" ca="1" si="1">Eval(C4)</f>
        <v>0</v>
      </c>
      <c r="D18" s="42">
        <f t="shared" ca="1" si="1"/>
        <v>4.0567951318458417E-3</v>
      </c>
      <c r="E18" s="35">
        <f t="shared" ca="1" si="1"/>
        <v>0</v>
      </c>
      <c r="F18" s="46">
        <f t="shared" ca="1" si="1"/>
        <v>3.8910505836575876E-3</v>
      </c>
      <c r="G18" s="36">
        <f t="shared" ca="1" si="1"/>
        <v>0</v>
      </c>
      <c r="H18" s="42">
        <f t="shared" ca="1" si="1"/>
        <v>0</v>
      </c>
      <c r="I18" s="35">
        <f ca="1">Eval(I4)</f>
        <v>1</v>
      </c>
      <c r="J18" s="46">
        <f t="shared" ca="1" si="1"/>
        <v>9.7323600973236012E-3</v>
      </c>
      <c r="K18" s="36">
        <f t="shared" ca="1" si="1"/>
        <v>1</v>
      </c>
      <c r="L18" s="42">
        <f t="shared" ca="1" si="1"/>
        <v>1.4814814814814815E-2</v>
      </c>
      <c r="M18" s="35">
        <f t="shared" ca="1" si="1"/>
        <v>1</v>
      </c>
      <c r="N18" s="46">
        <f t="shared" ca="1" si="1"/>
        <v>4.3478260869565216E-2</v>
      </c>
      <c r="O18" s="36">
        <f t="shared" ca="1" si="1"/>
        <v>1</v>
      </c>
      <c r="P18" s="50">
        <f t="shared" ca="1" si="1"/>
        <v>6.9532237673830596E-3</v>
      </c>
    </row>
    <row r="19" spans="1:16">
      <c r="A19" s="20" t="s">
        <v>31</v>
      </c>
      <c r="B19" s="21" t="s">
        <v>11</v>
      </c>
      <c r="C19" s="37">
        <f t="shared" ref="C19:P19" ca="1" si="2">Eval(C5)</f>
        <v>0</v>
      </c>
      <c r="D19" s="43">
        <f t="shared" ca="1" si="2"/>
        <v>0</v>
      </c>
      <c r="E19" s="37">
        <f t="shared" ca="1" si="2"/>
        <v>0</v>
      </c>
      <c r="F19" s="47">
        <f t="shared" ca="1" si="2"/>
        <v>0</v>
      </c>
      <c r="G19" s="38">
        <f t="shared" ca="1" si="2"/>
        <v>0.5</v>
      </c>
      <c r="H19" s="43">
        <f t="shared" ca="1" si="2"/>
        <v>0</v>
      </c>
      <c r="I19" s="37">
        <f t="shared" ca="1" si="2"/>
        <v>0.5</v>
      </c>
      <c r="J19" s="47">
        <f t="shared" ca="1" si="2"/>
        <v>0</v>
      </c>
      <c r="K19" s="38">
        <f t="shared" ca="1" si="2"/>
        <v>1</v>
      </c>
      <c r="L19" s="43">
        <f t="shared" ca="1" si="2"/>
        <v>0</v>
      </c>
      <c r="M19" s="37">
        <f t="shared" ca="1" si="2"/>
        <v>1</v>
      </c>
      <c r="N19" s="47">
        <f t="shared" ca="1" si="2"/>
        <v>0</v>
      </c>
      <c r="O19" s="38">
        <f t="shared" ca="1" si="2"/>
        <v>0.6</v>
      </c>
      <c r="P19" s="51">
        <f t="shared" ca="1" si="2"/>
        <v>0</v>
      </c>
    </row>
    <row r="20" spans="1:16">
      <c r="A20" s="14"/>
      <c r="B20" s="25" t="s">
        <v>21</v>
      </c>
      <c r="C20" s="35">
        <f t="shared" ref="C20:P20" ca="1" si="3">Eval(C6)</f>
        <v>0</v>
      </c>
      <c r="D20" s="42">
        <f t="shared" ca="1" si="3"/>
        <v>0</v>
      </c>
      <c r="E20" s="35">
        <f t="shared" ca="1" si="3"/>
        <v>0</v>
      </c>
      <c r="F20" s="46">
        <f t="shared" ca="1" si="3"/>
        <v>0</v>
      </c>
      <c r="G20" s="36">
        <f t="shared" ca="1" si="3"/>
        <v>1</v>
      </c>
      <c r="H20" s="42">
        <f t="shared" ca="1" si="3"/>
        <v>0</v>
      </c>
      <c r="I20" s="35">
        <f t="shared" ca="1" si="3"/>
        <v>1</v>
      </c>
      <c r="J20" s="46">
        <f t="shared" ca="1" si="3"/>
        <v>0</v>
      </c>
      <c r="K20" s="36">
        <f t="shared" ca="1" si="3"/>
        <v>1</v>
      </c>
      <c r="L20" s="42">
        <f t="shared" ca="1" si="3"/>
        <v>0</v>
      </c>
      <c r="M20" s="35">
        <f t="shared" ca="1" si="3"/>
        <v>1</v>
      </c>
      <c r="N20" s="46">
        <f t="shared" ca="1" si="3"/>
        <v>0</v>
      </c>
      <c r="O20" s="36">
        <f t="shared" ca="1" si="3"/>
        <v>0.42857142857142855</v>
      </c>
      <c r="P20" s="50">
        <f t="shared" ca="1" si="3"/>
        <v>0</v>
      </c>
    </row>
    <row r="21" spans="1:16">
      <c r="A21" s="20" t="s">
        <v>42</v>
      </c>
      <c r="B21" s="21" t="s">
        <v>11</v>
      </c>
      <c r="C21" s="37">
        <f t="shared" ref="C21:P21" ca="1" si="4">Eval(C7)</f>
        <v>1</v>
      </c>
      <c r="D21" s="43">
        <f t="shared" ca="1" si="4"/>
        <v>1</v>
      </c>
      <c r="E21" s="37">
        <f t="shared" ca="1" si="4"/>
        <v>1</v>
      </c>
      <c r="F21" s="47">
        <f t="shared" ca="1" si="4"/>
        <v>1</v>
      </c>
      <c r="G21" s="38">
        <f t="shared" ca="1" si="4"/>
        <v>0</v>
      </c>
      <c r="H21" s="43">
        <f t="shared" ca="1" si="4"/>
        <v>0</v>
      </c>
      <c r="I21" s="37">
        <f t="shared" ca="1" si="4"/>
        <v>1</v>
      </c>
      <c r="J21" s="47">
        <f t="shared" ca="1" si="4"/>
        <v>1</v>
      </c>
      <c r="K21" s="38">
        <f t="shared" ca="1" si="4"/>
        <v>1</v>
      </c>
      <c r="L21" s="43">
        <f t="shared" ca="1" si="4"/>
        <v>1</v>
      </c>
      <c r="M21" s="37">
        <f t="shared" ca="1" si="4"/>
        <v>1</v>
      </c>
      <c r="N21" s="47">
        <f t="shared" ca="1" si="4"/>
        <v>1</v>
      </c>
      <c r="O21" s="38">
        <f t="shared" ca="1" si="4"/>
        <v>1</v>
      </c>
      <c r="P21" s="51">
        <f t="shared" ca="1" si="4"/>
        <v>1</v>
      </c>
    </row>
    <row r="22" spans="1:16">
      <c r="A22" s="28"/>
      <c r="B22" s="15" t="s">
        <v>21</v>
      </c>
      <c r="C22" s="39">
        <f t="shared" ref="C22:P22" ca="1" si="5">Eval(C8)</f>
        <v>1</v>
      </c>
      <c r="D22" s="44">
        <f t="shared" ca="1" si="5"/>
        <v>8.4033613445378148E-3</v>
      </c>
      <c r="E22" s="39">
        <f t="shared" ca="1" si="5"/>
        <v>1</v>
      </c>
      <c r="F22" s="48">
        <f t="shared" ca="1" si="5"/>
        <v>0.75</v>
      </c>
      <c r="G22" s="40">
        <f t="shared" ca="1" si="5"/>
        <v>0</v>
      </c>
      <c r="H22" s="44">
        <f t="shared" ca="1" si="5"/>
        <v>0</v>
      </c>
      <c r="I22" s="39">
        <f t="shared" ca="1" si="5"/>
        <v>1</v>
      </c>
      <c r="J22" s="48">
        <f t="shared" ca="1" si="5"/>
        <v>1</v>
      </c>
      <c r="K22" s="40">
        <f t="shared" ca="1" si="5"/>
        <v>1</v>
      </c>
      <c r="L22" s="44">
        <f t="shared" ca="1" si="5"/>
        <v>1</v>
      </c>
      <c r="M22" s="39">
        <f t="shared" ca="1" si="5"/>
        <v>1</v>
      </c>
      <c r="N22" s="48">
        <f t="shared" ca="1" si="5"/>
        <v>1</v>
      </c>
      <c r="O22" s="40">
        <f t="shared" ca="1" si="5"/>
        <v>1</v>
      </c>
      <c r="P22" s="52">
        <f t="shared" ca="1" si="5"/>
        <v>7.03125E-2</v>
      </c>
    </row>
    <row r="23" spans="1:16">
      <c r="A23" s="20" t="s">
        <v>46</v>
      </c>
      <c r="B23" s="21" t="s">
        <v>11</v>
      </c>
      <c r="C23" s="35">
        <f t="shared" ref="C23:P23" ca="1" si="6">Eval(C9)</f>
        <v>0</v>
      </c>
      <c r="D23" s="42">
        <f t="shared" ca="1" si="6"/>
        <v>0.2</v>
      </c>
      <c r="E23" s="35">
        <f t="shared" ca="1" si="6"/>
        <v>1</v>
      </c>
      <c r="F23" s="46">
        <f t="shared" ca="1" si="6"/>
        <v>0</v>
      </c>
      <c r="G23" s="36">
        <f t="shared" ca="1" si="6"/>
        <v>1</v>
      </c>
      <c r="H23" s="42">
        <f t="shared" ca="1" si="6"/>
        <v>0</v>
      </c>
      <c r="I23" s="35">
        <f t="shared" ca="1" si="6"/>
        <v>1</v>
      </c>
      <c r="J23" s="46">
        <f t="shared" ca="1" si="6"/>
        <v>0</v>
      </c>
      <c r="K23" s="36">
        <f t="shared" ca="1" si="6"/>
        <v>1</v>
      </c>
      <c r="L23" s="42">
        <f t="shared" ca="1" si="6"/>
        <v>0</v>
      </c>
      <c r="M23" s="35">
        <f t="shared" ca="1" si="6"/>
        <v>1</v>
      </c>
      <c r="N23" s="46">
        <f t="shared" ca="1" si="6"/>
        <v>0</v>
      </c>
      <c r="O23" s="36">
        <f t="shared" ca="1" si="6"/>
        <v>0.75</v>
      </c>
      <c r="P23" s="50">
        <f t="shared" ca="1" si="6"/>
        <v>0.05</v>
      </c>
    </row>
    <row r="24" spans="1:16" ht="15.75" thickBot="1">
      <c r="A24" s="28"/>
      <c r="B24" s="15" t="s">
        <v>21</v>
      </c>
      <c r="C24" s="35">
        <f t="shared" ref="C24:P24" ca="1" si="7">Eval(C10)</f>
        <v>0</v>
      </c>
      <c r="D24" s="42">
        <f t="shared" ca="1" si="7"/>
        <v>1</v>
      </c>
      <c r="E24" s="35">
        <f t="shared" ca="1" si="7"/>
        <v>1</v>
      </c>
      <c r="F24" s="46">
        <f t="shared" ca="1" si="7"/>
        <v>0</v>
      </c>
      <c r="G24" s="36">
        <f t="shared" ca="1" si="7"/>
        <v>1</v>
      </c>
      <c r="H24" s="42">
        <f t="shared" ca="1" si="7"/>
        <v>0</v>
      </c>
      <c r="I24" s="35">
        <f t="shared" ca="1" si="7"/>
        <v>1</v>
      </c>
      <c r="J24" s="46">
        <f t="shared" ca="1" si="7"/>
        <v>0</v>
      </c>
      <c r="K24" s="36">
        <f t="shared" ca="1" si="7"/>
        <v>1</v>
      </c>
      <c r="L24" s="42">
        <f t="shared" ca="1" si="7"/>
        <v>0</v>
      </c>
      <c r="M24" s="35">
        <f t="shared" ca="1" si="7"/>
        <v>1</v>
      </c>
      <c r="N24" s="46">
        <f t="shared" ca="1" si="7"/>
        <v>0</v>
      </c>
      <c r="O24" s="36">
        <f t="shared" ca="1" si="7"/>
        <v>0.6</v>
      </c>
      <c r="P24" s="50">
        <f t="shared" ca="1" si="7"/>
        <v>1</v>
      </c>
    </row>
    <row r="25" spans="1:16">
      <c r="A25" s="31" t="s">
        <v>7</v>
      </c>
      <c r="B25" s="10" t="s">
        <v>11</v>
      </c>
      <c r="C25" s="33">
        <f t="shared" ref="C25:P25" ca="1" si="8">Eval(C11)</f>
        <v>9.0909090909090912E-2</v>
      </c>
      <c r="D25" s="41">
        <f t="shared" ca="1" si="8"/>
        <v>0.36363636363636365</v>
      </c>
      <c r="E25" s="33">
        <f t="shared" ca="1" si="8"/>
        <v>0.66666666666666663</v>
      </c>
      <c r="F25" s="45">
        <f t="shared" ca="1" si="8"/>
        <v>0.44444444444444442</v>
      </c>
      <c r="G25" s="34">
        <f t="shared" ca="1" si="8"/>
        <v>0.8</v>
      </c>
      <c r="H25" s="41">
        <f t="shared" ca="1" si="8"/>
        <v>0</v>
      </c>
      <c r="I25" s="33">
        <f t="shared" ca="1" si="8"/>
        <v>0.77777777777777779</v>
      </c>
      <c r="J25" s="45">
        <f t="shared" ca="1" si="8"/>
        <v>0.66666666666666663</v>
      </c>
      <c r="K25" s="34">
        <f t="shared" ca="1" si="8"/>
        <v>1</v>
      </c>
      <c r="L25" s="41">
        <f t="shared" ca="1" si="8"/>
        <v>0.27272727272727271</v>
      </c>
      <c r="M25" s="33">
        <f t="shared" ca="1" si="8"/>
        <v>1</v>
      </c>
      <c r="N25" s="45">
        <f t="shared" ca="1" si="8"/>
        <v>0.4</v>
      </c>
      <c r="O25" s="34">
        <f t="shared" ca="1" si="8"/>
        <v>0.71666666666666667</v>
      </c>
      <c r="P25" s="49">
        <f t="shared" ca="1" si="8"/>
        <v>0.35</v>
      </c>
    </row>
    <row r="26" spans="1:16">
      <c r="A26" s="32"/>
      <c r="B26" s="15" t="s">
        <v>21</v>
      </c>
      <c r="C26" s="35">
        <f t="shared" ref="C26:P26" ca="1" si="9">Eval(C12)</f>
        <v>3.7037037037037035E-2</v>
      </c>
      <c r="D26" s="42">
        <f t="shared" ca="1" si="9"/>
        <v>6.4935064935064939E-3</v>
      </c>
      <c r="E26" s="35">
        <f t="shared" ca="1" si="9"/>
        <v>1</v>
      </c>
      <c r="F26" s="46">
        <f t="shared" ca="1" si="9"/>
        <v>1.532567049808429E-2</v>
      </c>
      <c r="G26" s="36">
        <f t="shared" ca="1" si="9"/>
        <v>1</v>
      </c>
      <c r="H26" s="42">
        <f t="shared" ca="1" si="9"/>
        <v>0</v>
      </c>
      <c r="I26" s="35">
        <f t="shared" ca="1" si="9"/>
        <v>1</v>
      </c>
      <c r="J26" s="46">
        <f t="shared" ca="1" si="9"/>
        <v>1.4527845036319613E-2</v>
      </c>
      <c r="K26" s="36">
        <f t="shared" ca="1" si="9"/>
        <v>1</v>
      </c>
      <c r="L26" s="42">
        <f t="shared" ca="1" si="9"/>
        <v>2.2058823529411766E-2</v>
      </c>
      <c r="M26" s="35">
        <f t="shared" ca="1" si="9"/>
        <v>1</v>
      </c>
      <c r="N26" s="46">
        <f t="shared" ca="1" si="9"/>
        <v>8.3333333333333329E-2</v>
      </c>
      <c r="O26" s="36">
        <f t="shared" ca="1" si="9"/>
        <v>0.62318840579710144</v>
      </c>
      <c r="P26" s="50">
        <f t="shared" ca="1" si="9"/>
        <v>1.2252042007001166E-2</v>
      </c>
    </row>
  </sheetData>
  <mergeCells count="26">
    <mergeCell ref="A23:A24"/>
    <mergeCell ref="A25:A26"/>
    <mergeCell ref="K15:L15"/>
    <mergeCell ref="M15:N15"/>
    <mergeCell ref="O15:P15"/>
    <mergeCell ref="A17:A18"/>
    <mergeCell ref="A19:A20"/>
    <mergeCell ref="A21:A22"/>
    <mergeCell ref="A11:A12"/>
    <mergeCell ref="A15:A16"/>
    <mergeCell ref="C15:D15"/>
    <mergeCell ref="E15:F15"/>
    <mergeCell ref="G15:H15"/>
    <mergeCell ref="I15:J15"/>
    <mergeCell ref="M1:N1"/>
    <mergeCell ref="O1:P1"/>
    <mergeCell ref="A3:A4"/>
    <mergeCell ref="A5:A6"/>
    <mergeCell ref="A7:A8"/>
    <mergeCell ref="A9:A10"/>
    <mergeCell ref="A1:A2"/>
    <mergeCell ref="C1:D1"/>
    <mergeCell ref="E1:F1"/>
    <mergeCell ref="G1:H1"/>
    <mergeCell ref="I1:J1"/>
    <mergeCell ref="K1:L1"/>
  </mergeCells>
  <conditionalFormatting sqref="C5:P5 C9:P9 C11:P11 C3:P3 C7:P7">
    <cfRule type="colorScale" priority="8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C6:P6 C4 C8:P8 C10:P10 C12:P12 E4:P4">
    <cfRule type="dataBar" priority="7">
      <dataBar>
        <cfvo type="num" val="0"/>
        <cfvo type="num" val="100"/>
        <color theme="3" tint="0.59999389629810485"/>
      </dataBar>
    </cfRule>
  </conditionalFormatting>
  <conditionalFormatting sqref="D4 J4">
    <cfRule type="dataBar" priority="6">
      <dataBar>
        <cfvo type="num" val="0"/>
        <cfvo type="num" val="100"/>
        <color theme="3" tint="0.59999389629810485"/>
      </dataBar>
    </cfRule>
  </conditionalFormatting>
  <conditionalFormatting sqref="C17:P17 C19:P19 B21:P21 C23:P23 C25:P2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8:P18 C20:P20 C22:P22 C24:P24 C26:P26">
    <cfRule type="dataBar" priority="1">
      <dataBar>
        <cfvo type="min" val="0"/>
        <cfvo type="max" val="0"/>
        <color rgb="FF008AEF"/>
      </dataBar>
    </cfRule>
  </conditionalFormatting>
  <pageMargins left="0.7" right="0.7" top="0.75" bottom="0.75" header="0.3" footer="0.3"/>
  <pageSetup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LR</dc:creator>
  <cp:lastModifiedBy>LR</cp:lastModifiedBy>
  <dcterms:created xsi:type="dcterms:W3CDTF">2014-05-03T19:18:05Z</dcterms:created>
  <dcterms:modified xsi:type="dcterms:W3CDTF">2014-05-03T19:33:51Z</dcterms:modified>
</cp:coreProperties>
</file>